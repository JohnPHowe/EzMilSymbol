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np\dev\milsymbol-poc\"/>
    </mc:Choice>
  </mc:AlternateContent>
  <xr:revisionPtr revIDLastSave="0" documentId="13_ncr:1_{08555333-EF1E-42CD-AB15-B5EB6D0D886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IDC Structure" sheetId="1" r:id="rId1"/>
    <sheet name="Version" sheetId="2" r:id="rId2"/>
    <sheet name="Context-Standard Identity" sheetId="3" r:id="rId3"/>
    <sheet name="Symbol Set" sheetId="4" r:id="rId4"/>
    <sheet name="Domain Mappings" sheetId="5" r:id="rId5"/>
    <sheet name="Status" sheetId="6" r:id="rId6"/>
    <sheet name="HQTFF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D10" i="2"/>
  <c r="B2" i="2"/>
  <c r="B3" i="2"/>
  <c r="B4" i="2"/>
  <c r="B5" i="2"/>
  <c r="B6" i="2"/>
  <c r="B7" i="2"/>
  <c r="B8" i="2"/>
  <c r="B9" i="2"/>
  <c r="B10" i="2"/>
  <c r="B11" i="2"/>
  <c r="B1" i="2"/>
  <c r="D2" i="2"/>
  <c r="D3" i="2"/>
  <c r="D4" i="2"/>
  <c r="D5" i="2"/>
  <c r="D6" i="2"/>
  <c r="D7" i="2"/>
  <c r="D8" i="2"/>
  <c r="D9" i="2"/>
  <c r="D11" i="2"/>
  <c r="C2" i="2"/>
  <c r="C3" i="2"/>
  <c r="C4" i="2"/>
  <c r="C5" i="2"/>
  <c r="C6" i="2"/>
  <c r="C7" i="2"/>
  <c r="C9" i="2"/>
  <c r="C10" i="2"/>
  <c r="C11" i="2"/>
  <c r="D1" i="2"/>
  <c r="C1" i="2"/>
</calcChain>
</file>

<file path=xl/sharedStrings.xml><?xml version="1.0" encoding="utf-8"?>
<sst xmlns="http://schemas.openxmlformats.org/spreadsheetml/2006/main" count="228" uniqueCount="122">
  <si>
    <t>Digits</t>
  </si>
  <si>
    <t>Field Name</t>
  </si>
  <si>
    <t>Description</t>
  </si>
  <si>
    <t>1-2</t>
  </si>
  <si>
    <t>Version</t>
  </si>
  <si>
    <t>Identifies the version of MIL-STD-2525. '10' or '30' are common starts for modern numeric codes.</t>
  </si>
  <si>
    <t>3</t>
  </si>
  <si>
    <t>Context</t>
  </si>
  <si>
    <t>0: Reality, 1: Exercise, 2: Simulation.</t>
  </si>
  <si>
    <t>4</t>
  </si>
  <si>
    <t>Standard Identity</t>
  </si>
  <si>
    <t>0: Unknown, 1: Pending, 2: Assumed Friend, 3: Friend, 4: Neutral, 5: Suspect/Joker, 6: Hostile/Faker.</t>
  </si>
  <si>
    <t>5-6</t>
  </si>
  <si>
    <t>Symbol Set</t>
  </si>
  <si>
    <t>Broad category: 10 (Land Unit), 11 (Air), 12 (Space), 15 (Sea Surface), 20 (Subsurface), etc.</t>
  </si>
  <si>
    <t>7</t>
  </si>
  <si>
    <t>Status</t>
  </si>
  <si>
    <t>0: Present, 1: Planned/Anticipated/Suspected.</t>
  </si>
  <si>
    <t>8</t>
  </si>
  <si>
    <t>HQTFFD</t>
  </si>
  <si>
    <t>Identifies Headquarters (HQ), Task Force (TF), Feint/Dummy (FD), or combinations.</t>
  </si>
  <si>
    <t>9-10</t>
  </si>
  <si>
    <t>Amplifier / Echelon</t>
  </si>
  <si>
    <t>Indicates unit size (e.g., 11: Squad, 13: Section, 14: Platoon, 15: Company, 16: Battalion).</t>
  </si>
  <si>
    <t>11-16</t>
  </si>
  <si>
    <t>Entity Icon</t>
  </si>
  <si>
    <t>The core functional symbol (e.g., 121100 for Infantry, 120500 for Armor).</t>
  </si>
  <si>
    <t>17-18</t>
  </si>
  <si>
    <t>Modifier 1</t>
  </si>
  <si>
    <t>First specific specialty modifier (e.g., Airborne, Mountain, Robotic).</t>
  </si>
  <si>
    <t>19-20</t>
  </si>
  <si>
    <t>Modifier 2</t>
  </si>
  <si>
    <t>Second specific specialty modifier (e.g., Light, Heavy, Recon).</t>
  </si>
  <si>
    <t>21-30</t>
  </si>
  <si>
    <t>Reserved</t>
  </si>
  <si>
    <t>Used for future expansion or specific system-to-system tagging; usually zeros.</t>
  </si>
  <si>
    <t>set A</t>
  </si>
  <si>
    <t>set B</t>
  </si>
  <si>
    <t>set C</t>
  </si>
  <si>
    <t>Value Description Released</t>
  </si>
  <si>
    <t>10 MIL-STD-2525D June 2014</t>
  </si>
  <si>
    <t>10 APP-06(D)(1) October 2017</t>
  </si>
  <si>
    <t>11 MIL-STD-2525D(1) August 2, 2018</t>
  </si>
  <si>
    <t>12 APP-06(D)(2) Withdrawn</t>
  </si>
  <si>
    <t>13 MIL-STD-2525E December 31, 2022</t>
  </si>
  <si>
    <t>14 APP-06(E)(1) October 2023</t>
  </si>
  <si>
    <t>15 MIL-STD-2525E(1) March 2, 2025</t>
  </si>
  <si>
    <t>16 APP-06(E)(2) October 14, 2025</t>
  </si>
  <si>
    <t>17-3F Reserved for future Editions/Versions N/A</t>
  </si>
  <si>
    <t>40-FF N/A N/A</t>
  </si>
  <si>
    <t>1st Position Value</t>
  </si>
  <si>
    <t>2d Position Value</t>
  </si>
  <si>
    <t>Reality</t>
  </si>
  <si>
    <t>Exercise</t>
  </si>
  <si>
    <t>Simulation</t>
  </si>
  <si>
    <t>Restricted Target – Reality</t>
  </si>
  <si>
    <t>No-Strike Entity – Reality</t>
  </si>
  <si>
    <t>Restricted Target – Exercise</t>
  </si>
  <si>
    <t>No-Strike Entity – Exercise</t>
  </si>
  <si>
    <t>Restricted Target – Simulation</t>
  </si>
  <si>
    <t>No-Strike Entity – Simulation</t>
  </si>
  <si>
    <t>Pending</t>
  </si>
  <si>
    <t>Unknown</t>
  </si>
  <si>
    <t>Assumed Friend</t>
  </si>
  <si>
    <t>Friend</t>
  </si>
  <si>
    <t>Neutral</t>
  </si>
  <si>
    <t>Suspect/Joker</t>
  </si>
  <si>
    <t>Hostile/Faker</t>
  </si>
  <si>
    <t>Value</t>
  </si>
  <si>
    <t>Air</t>
  </si>
  <si>
    <t>Air Missile</t>
  </si>
  <si>
    <t>Space</t>
  </si>
  <si>
    <t>Space Missile</t>
  </si>
  <si>
    <t>Land Unit</t>
  </si>
  <si>
    <t>Land Civilian Unit/Organization</t>
  </si>
  <si>
    <t>Land Equipment</t>
  </si>
  <si>
    <t>Land Installation</t>
  </si>
  <si>
    <t>Control Measures and Planning Symbols</t>
  </si>
  <si>
    <t>Dismounted Individuals</t>
  </si>
  <si>
    <t>Sea Surface</t>
  </si>
  <si>
    <t>Sea Subsurface</t>
  </si>
  <si>
    <t>Mine Warfare</t>
  </si>
  <si>
    <t>Activities</t>
  </si>
  <si>
    <t>Atmospheric</t>
  </si>
  <si>
    <t>Oceanographic</t>
  </si>
  <si>
    <t>Meteorological Space</t>
  </si>
  <si>
    <t>Signals Intelligence</t>
  </si>
  <si>
    <t>Cyberspace - Virtual</t>
  </si>
  <si>
    <t>Battle Dimension (C)</t>
  </si>
  <si>
    <t>Dimension (E)</t>
  </si>
  <si>
    <t>Domain</t>
  </si>
  <si>
    <t>Symbol Sets</t>
  </si>
  <si>
    <t>Ground</t>
  </si>
  <si>
    <t>Land</t>
  </si>
  <si>
    <t>Maritime</t>
  </si>
  <si>
    <t>--</t>
  </si>
  <si>
    <t>Dismounted Individual</t>
  </si>
  <si>
    <t>By Location</t>
  </si>
  <si>
    <t>Cyberspace</t>
  </si>
  <si>
    <t>Cyberspace (Virtual)</t>
  </si>
  <si>
    <t>Control Measure</t>
  </si>
  <si>
    <t>METOC</t>
  </si>
  <si>
    <t>Sea</t>
  </si>
  <si>
    <t>00</t>
  </si>
  <si>
    <t>01</t>
  </si>
  <si>
    <t>02</t>
  </si>
  <si>
    <t>05</t>
  </si>
  <si>
    <t>06</t>
  </si>
  <si>
    <t>Present</t>
  </si>
  <si>
    <t>Planned/Anticipated/Suspect</t>
  </si>
  <si>
    <t>Present/Fully capable</t>
  </si>
  <si>
    <t>Present/Damaged</t>
  </si>
  <si>
    <t>Present/Destroyed</t>
  </si>
  <si>
    <t>Present/Full to capacity</t>
  </si>
  <si>
    <t>Feint/Decoy/Dummy</t>
  </si>
  <si>
    <t>Headquarters</t>
  </si>
  <si>
    <t>Feint/Dummy Headquarters</t>
  </si>
  <si>
    <t>Task Force</t>
  </si>
  <si>
    <t>Feint/Dummy Task Force</t>
  </si>
  <si>
    <t>Task Force Headquarters</t>
  </si>
  <si>
    <t>Feint/Dummy Task Force Headquarters</t>
  </si>
  <si>
    <t>Headquarters/Task Force/Feint/Dummy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</si>
</sst>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"/>
  <sheetViews>
    <sheetView topLeftCell="D1" workbookViewId="0">
      <selection activeCell="F3" sqref="F3"/>
    </sheetView>
  </sheetViews>
  <sheetFormatPr defaultRowHeight="15"/>
  <cols>
    <col min="1" max="1" width="6" hidden="1" customWidth="1"/>
    <col min="2" max="2" width="18.42578125" hidden="1" customWidth="1"/>
    <col min="3" max="3" width="91.140625" hidden="1" customWidth="1"/>
    <col min="4" max="5" width="7.85546875" bestFit="1" customWidth="1"/>
    <col min="6" max="6" width="8" bestFit="1" customWidth="1"/>
    <col min="7" max="7" width="16.42578125" bestFit="1" customWidth="1"/>
    <col min="8" max="9" width="10.85546875" bestFit="1" customWidth="1"/>
    <col min="10" max="10" width="6.42578125" bestFit="1" customWidth="1"/>
    <col min="11" max="11" width="8" bestFit="1" customWidth="1"/>
    <col min="12" max="13" width="18.42578125" bestFit="1" customWidth="1"/>
    <col min="14" max="19" width="10.28515625" bestFit="1" customWidth="1"/>
    <col min="20" max="23" width="10.140625" bestFit="1" customWidth="1"/>
    <col min="24" max="33" width="9.28515625" bestFit="1" customWidth="1"/>
  </cols>
  <sheetData>
    <row r="1" spans="1:33" s="3" customFormat="1">
      <c r="A1" s="4" t="s">
        <v>0</v>
      </c>
      <c r="B1" s="4" t="s">
        <v>1</v>
      </c>
      <c r="C1" s="4" t="s">
        <v>2</v>
      </c>
      <c r="D1" s="5" t="s">
        <v>36</v>
      </c>
      <c r="E1" s="6"/>
      <c r="F1" s="6"/>
      <c r="G1" s="6"/>
      <c r="H1" s="6"/>
      <c r="I1" s="6"/>
      <c r="J1" s="6"/>
      <c r="K1" s="6"/>
      <c r="L1" s="6"/>
      <c r="M1" s="6"/>
      <c r="N1" s="6" t="s">
        <v>37</v>
      </c>
      <c r="O1" s="6"/>
      <c r="P1" s="6"/>
      <c r="Q1" s="6"/>
      <c r="R1" s="6"/>
      <c r="S1" s="6"/>
      <c r="T1" s="6"/>
      <c r="U1" s="6"/>
      <c r="V1" s="6"/>
      <c r="W1" s="6"/>
      <c r="X1" s="6" t="s">
        <v>38</v>
      </c>
      <c r="Y1" s="6"/>
      <c r="Z1" s="6"/>
      <c r="AA1" s="6"/>
      <c r="AB1" s="6"/>
      <c r="AC1" s="6"/>
      <c r="AD1" s="6"/>
      <c r="AE1" s="6"/>
      <c r="AF1" s="6"/>
      <c r="AG1" s="6"/>
    </row>
    <row r="2" spans="1:33" s="3" customFormat="1">
      <c r="A2" s="3" t="s">
        <v>3</v>
      </c>
      <c r="B2" s="3" t="s">
        <v>4</v>
      </c>
      <c r="C2" s="3" t="s">
        <v>5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3">
        <v>25</v>
      </c>
      <c r="AC2" s="3">
        <v>26</v>
      </c>
      <c r="AD2" s="3">
        <v>27</v>
      </c>
      <c r="AE2" s="3">
        <v>28</v>
      </c>
      <c r="AF2" s="3">
        <v>29</v>
      </c>
      <c r="AG2" s="3">
        <v>30</v>
      </c>
    </row>
    <row r="3" spans="1:33">
      <c r="A3" t="s">
        <v>6</v>
      </c>
      <c r="B3" t="s">
        <v>7</v>
      </c>
      <c r="C3" t="s">
        <v>8</v>
      </c>
      <c r="D3" t="s">
        <v>4</v>
      </c>
      <c r="E3" t="s">
        <v>4</v>
      </c>
      <c r="F3" t="s">
        <v>7</v>
      </c>
      <c r="G3" t="s">
        <v>10</v>
      </c>
      <c r="H3" t="s">
        <v>13</v>
      </c>
      <c r="I3" t="s">
        <v>13</v>
      </c>
      <c r="J3" t="s">
        <v>16</v>
      </c>
      <c r="K3" t="s">
        <v>19</v>
      </c>
      <c r="L3" t="s">
        <v>22</v>
      </c>
      <c r="M3" t="s">
        <v>22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28</v>
      </c>
      <c r="U3" t="s">
        <v>28</v>
      </c>
      <c r="V3" t="s">
        <v>31</v>
      </c>
      <c r="W3" t="s">
        <v>31</v>
      </c>
      <c r="X3" t="s">
        <v>34</v>
      </c>
      <c r="Y3" t="s">
        <v>34</v>
      </c>
      <c r="Z3" t="s">
        <v>34</v>
      </c>
      <c r="AA3" t="s">
        <v>34</v>
      </c>
      <c r="AB3" t="s">
        <v>34</v>
      </c>
      <c r="AC3" t="s">
        <v>34</v>
      </c>
      <c r="AD3" t="s">
        <v>34</v>
      </c>
      <c r="AE3" t="s">
        <v>34</v>
      </c>
      <c r="AF3" t="s">
        <v>34</v>
      </c>
      <c r="AG3" t="s">
        <v>34</v>
      </c>
    </row>
    <row r="4" spans="1:33">
      <c r="A4" t="s">
        <v>9</v>
      </c>
      <c r="B4" t="s">
        <v>10</v>
      </c>
      <c r="C4" t="s">
        <v>11</v>
      </c>
    </row>
    <row r="5" spans="1:33">
      <c r="A5" t="s">
        <v>12</v>
      </c>
      <c r="B5" t="s">
        <v>13</v>
      </c>
      <c r="C5" t="s">
        <v>14</v>
      </c>
    </row>
    <row r="6" spans="1:33">
      <c r="A6" t="s">
        <v>15</v>
      </c>
      <c r="B6" t="s">
        <v>16</v>
      </c>
      <c r="C6" t="s">
        <v>17</v>
      </c>
    </row>
    <row r="7" spans="1:33">
      <c r="A7" t="s">
        <v>18</v>
      </c>
      <c r="B7" t="s">
        <v>19</v>
      </c>
      <c r="C7" t="s">
        <v>20</v>
      </c>
    </row>
    <row r="8" spans="1:33">
      <c r="A8" t="s">
        <v>21</v>
      </c>
      <c r="B8" t="s">
        <v>22</v>
      </c>
      <c r="C8" t="s">
        <v>23</v>
      </c>
    </row>
    <row r="9" spans="1:33">
      <c r="A9" t="s">
        <v>24</v>
      </c>
      <c r="B9" t="s">
        <v>25</v>
      </c>
      <c r="C9" t="s">
        <v>26</v>
      </c>
    </row>
    <row r="10" spans="1:33">
      <c r="A10" t="s">
        <v>27</v>
      </c>
      <c r="B10" t="s">
        <v>28</v>
      </c>
      <c r="C10" t="s">
        <v>29</v>
      </c>
    </row>
    <row r="11" spans="1:33">
      <c r="A11" t="s">
        <v>30</v>
      </c>
      <c r="B11" t="s">
        <v>31</v>
      </c>
      <c r="C11" t="s">
        <v>32</v>
      </c>
    </row>
    <row r="12" spans="1:33">
      <c r="A12" t="s">
        <v>33</v>
      </c>
      <c r="B12" t="s">
        <v>34</v>
      </c>
      <c r="C12" t="s">
        <v>35</v>
      </c>
    </row>
  </sheetData>
  <mergeCells count="3">
    <mergeCell ref="D1:M1"/>
    <mergeCell ref="N1:W1"/>
    <mergeCell ref="X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104F-C313-49B8-9EFC-78CA2B606702}">
  <dimension ref="A1:D11"/>
  <sheetViews>
    <sheetView topLeftCell="B1" workbookViewId="0">
      <selection activeCell="C8" sqref="C8"/>
    </sheetView>
  </sheetViews>
  <sheetFormatPr defaultRowHeight="15"/>
  <cols>
    <col min="1" max="1" width="44.7109375" hidden="1" customWidth="1"/>
    <col min="2" max="2" width="18.85546875" bestFit="1" customWidth="1"/>
    <col min="3" max="4" width="27.5703125" bestFit="1" customWidth="1"/>
  </cols>
  <sheetData>
    <row r="1" spans="1:4">
      <c r="A1" t="s">
        <v>39</v>
      </c>
      <c r="B1" s="2" t="str">
        <f>LEFT(A1, FIND(" ", A1) - 1)</f>
        <v>Value</v>
      </c>
      <c r="C1" s="2" t="str">
        <f t="shared" ref="C1:C11" si="0">MID(A1, FIND(" ", A1) + 1, FIND(" ", A1, FIND(" ", A1) + 1) - FIND(" ", A1) - 1)</f>
        <v>Description</v>
      </c>
      <c r="D1" s="2" t="str">
        <f t="shared" ref="D1:D11" si="1">MID(A1, FIND(" ", A1, FIND(" ", A1) + 1) + 1, LEN(A1))</f>
        <v>Released</v>
      </c>
    </row>
    <row r="2" spans="1:4">
      <c r="A2" t="s">
        <v>40</v>
      </c>
      <c r="B2" s="1" t="str">
        <f t="shared" ref="B2:B11" si="2">LEFT(A2, FIND(" ", A2) - 1)</f>
        <v>10</v>
      </c>
      <c r="C2" s="1" t="str">
        <f t="shared" si="0"/>
        <v>MIL-STD-2525D</v>
      </c>
      <c r="D2" s="1" t="str">
        <f t="shared" si="1"/>
        <v>June 2014</v>
      </c>
    </row>
    <row r="3" spans="1:4">
      <c r="A3" t="s">
        <v>41</v>
      </c>
      <c r="B3" s="1" t="str">
        <f t="shared" si="2"/>
        <v>10</v>
      </c>
      <c r="C3" s="1" t="str">
        <f t="shared" si="0"/>
        <v>APP-06(D)(1)</v>
      </c>
      <c r="D3" s="1" t="str">
        <f t="shared" si="1"/>
        <v>October 2017</v>
      </c>
    </row>
    <row r="4" spans="1:4">
      <c r="A4" t="s">
        <v>42</v>
      </c>
      <c r="B4" s="1" t="str">
        <f t="shared" si="2"/>
        <v>11</v>
      </c>
      <c r="C4" s="1" t="str">
        <f t="shared" si="0"/>
        <v>MIL-STD-2525D(1)</v>
      </c>
      <c r="D4" s="1" t="str">
        <f t="shared" si="1"/>
        <v>August 2, 2018</v>
      </c>
    </row>
    <row r="5" spans="1:4">
      <c r="A5" t="s">
        <v>43</v>
      </c>
      <c r="B5" s="1" t="str">
        <f t="shared" si="2"/>
        <v>12</v>
      </c>
      <c r="C5" s="1" t="str">
        <f t="shared" si="0"/>
        <v>APP-06(D)(2)</v>
      </c>
      <c r="D5" s="1" t="str">
        <f t="shared" si="1"/>
        <v>Withdrawn</v>
      </c>
    </row>
    <row r="6" spans="1:4">
      <c r="A6" t="s">
        <v>44</v>
      </c>
      <c r="B6" s="1" t="str">
        <f t="shared" si="2"/>
        <v>13</v>
      </c>
      <c r="C6" s="1" t="str">
        <f t="shared" si="0"/>
        <v>MIL-STD-2525E</v>
      </c>
      <c r="D6" s="1" t="str">
        <f t="shared" si="1"/>
        <v>December 31, 2022</v>
      </c>
    </row>
    <row r="7" spans="1:4">
      <c r="A7" t="s">
        <v>45</v>
      </c>
      <c r="B7" s="1" t="str">
        <f t="shared" si="2"/>
        <v>14</v>
      </c>
      <c r="C7" s="1" t="str">
        <f t="shared" si="0"/>
        <v>APP-06(E)(1)</v>
      </c>
      <c r="D7" s="1" t="str">
        <f t="shared" si="1"/>
        <v>October 2023</v>
      </c>
    </row>
    <row r="8" spans="1:4">
      <c r="A8" t="s">
        <v>46</v>
      </c>
      <c r="B8" s="1" t="str">
        <f t="shared" si="2"/>
        <v>15</v>
      </c>
      <c r="C8" s="1" t="str">
        <f>MID(A8, FIND(" ", A8) + 1, FIND(" ", A8, FIND(" ", A8) + 1) - FIND(" ", A8) - 1)</f>
        <v>MIL-STD-2525E(1)</v>
      </c>
      <c r="D8" s="1" t="str">
        <f t="shared" si="1"/>
        <v>March 2, 2025</v>
      </c>
    </row>
    <row r="9" spans="1:4">
      <c r="A9" t="s">
        <v>47</v>
      </c>
      <c r="B9" s="1" t="str">
        <f t="shared" si="2"/>
        <v>16</v>
      </c>
      <c r="C9" s="1" t="str">
        <f t="shared" si="0"/>
        <v>APP-06(E)(2)</v>
      </c>
      <c r="D9" s="1" t="str">
        <f t="shared" si="1"/>
        <v>October 14, 2025</v>
      </c>
    </row>
    <row r="10" spans="1:4">
      <c r="A10" t="s">
        <v>48</v>
      </c>
      <c r="B10" s="1" t="str">
        <f t="shared" si="2"/>
        <v>17-3F</v>
      </c>
      <c r="C10" s="1" t="str">
        <f t="shared" si="0"/>
        <v>Reserved</v>
      </c>
      <c r="D10" s="1" t="str">
        <f t="shared" si="1"/>
        <v>for future Editions/Versions N/A</v>
      </c>
    </row>
    <row r="11" spans="1:4">
      <c r="A11" t="s">
        <v>49</v>
      </c>
      <c r="B11" s="1" t="str">
        <f t="shared" si="2"/>
        <v>40-FF</v>
      </c>
      <c r="C11" s="1" t="str">
        <f t="shared" si="0"/>
        <v>N/A</v>
      </c>
      <c r="D11" s="1" t="str">
        <f t="shared" si="1"/>
        <v>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1EE8-6A39-49C6-80A8-1BE0921432B5}">
  <dimension ref="A1:C20"/>
  <sheetViews>
    <sheetView tabSelected="1" workbookViewId="0">
      <selection activeCell="R16" sqref="R16"/>
    </sheetView>
  </sheetViews>
  <sheetFormatPr defaultRowHeight="15"/>
  <cols>
    <col min="1" max="1" width="28" bestFit="1" customWidth="1"/>
    <col min="2" max="2" width="17" bestFit="1" customWidth="1"/>
    <col min="3" max="3" width="16.5703125" bestFit="1" customWidth="1"/>
  </cols>
  <sheetData>
    <row r="1" spans="1:3">
      <c r="A1" s="3" t="s">
        <v>2</v>
      </c>
      <c r="B1" s="3" t="s">
        <v>50</v>
      </c>
      <c r="C1" s="3" t="s">
        <v>51</v>
      </c>
    </row>
    <row r="2" spans="1:3">
      <c r="A2" s="6" t="s">
        <v>7</v>
      </c>
      <c r="B2" s="6"/>
      <c r="C2" s="6"/>
    </row>
    <row r="3" spans="1:3">
      <c r="A3" t="s">
        <v>52</v>
      </c>
      <c r="B3">
        <v>0</v>
      </c>
    </row>
    <row r="4" spans="1:3">
      <c r="A4" t="s">
        <v>53</v>
      </c>
      <c r="B4">
        <v>1</v>
      </c>
    </row>
    <row r="5" spans="1:3">
      <c r="A5" t="s">
        <v>54</v>
      </c>
      <c r="B5">
        <v>2</v>
      </c>
    </row>
    <row r="6" spans="1:3">
      <c r="A6" t="s">
        <v>55</v>
      </c>
      <c r="B6">
        <v>3</v>
      </c>
    </row>
    <row r="7" spans="1:3">
      <c r="A7" t="s">
        <v>56</v>
      </c>
      <c r="B7">
        <v>4</v>
      </c>
    </row>
    <row r="8" spans="1:3">
      <c r="A8" t="s">
        <v>57</v>
      </c>
      <c r="B8">
        <v>5</v>
      </c>
    </row>
    <row r="9" spans="1:3">
      <c r="A9" t="s">
        <v>58</v>
      </c>
      <c r="B9">
        <v>6</v>
      </c>
    </row>
    <row r="10" spans="1:3">
      <c r="A10" t="s">
        <v>59</v>
      </c>
      <c r="B10">
        <v>7</v>
      </c>
    </row>
    <row r="11" spans="1:3">
      <c r="A11" t="s">
        <v>60</v>
      </c>
      <c r="B11">
        <v>8</v>
      </c>
    </row>
    <row r="13" spans="1:3">
      <c r="A13" s="6" t="s">
        <v>10</v>
      </c>
      <c r="B13" s="6"/>
      <c r="C13" s="6"/>
    </row>
    <row r="14" spans="1:3">
      <c r="A14" t="s">
        <v>61</v>
      </c>
      <c r="C14">
        <v>0</v>
      </c>
    </row>
    <row r="15" spans="1:3">
      <c r="A15" t="s">
        <v>62</v>
      </c>
      <c r="C15">
        <v>1</v>
      </c>
    </row>
    <row r="16" spans="1:3">
      <c r="A16" t="s">
        <v>63</v>
      </c>
      <c r="C16">
        <v>2</v>
      </c>
    </row>
    <row r="17" spans="1:3">
      <c r="A17" t="s">
        <v>64</v>
      </c>
      <c r="C17">
        <v>3</v>
      </c>
    </row>
    <row r="18" spans="1:3">
      <c r="A18" t="s">
        <v>65</v>
      </c>
      <c r="C18">
        <v>4</v>
      </c>
    </row>
    <row r="19" spans="1:3">
      <c r="A19" t="s">
        <v>66</v>
      </c>
      <c r="C19">
        <v>5</v>
      </c>
    </row>
    <row r="20" spans="1:3">
      <c r="A20" t="s">
        <v>67</v>
      </c>
      <c r="C20">
        <v>6</v>
      </c>
    </row>
  </sheetData>
  <mergeCells count="2">
    <mergeCell ref="A13:C13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24CB1-24E2-43F8-9424-584CADCB7432}">
  <dimension ref="A1:B21"/>
  <sheetViews>
    <sheetView workbookViewId="0">
      <selection activeCell="A21" sqref="A21"/>
    </sheetView>
  </sheetViews>
  <sheetFormatPr defaultRowHeight="15"/>
  <cols>
    <col min="1" max="1" width="37.140625" bestFit="1" customWidth="1"/>
  </cols>
  <sheetData>
    <row r="1" spans="1:2" s="3" customFormat="1">
      <c r="A1" s="3" t="s">
        <v>2</v>
      </c>
      <c r="B1" s="3" t="s">
        <v>68</v>
      </c>
    </row>
    <row r="2" spans="1:2">
      <c r="A2" t="s">
        <v>62</v>
      </c>
      <c r="B2">
        <v>0</v>
      </c>
    </row>
    <row r="3" spans="1:2">
      <c r="A3" t="s">
        <v>69</v>
      </c>
      <c r="B3">
        <v>1</v>
      </c>
    </row>
    <row r="4" spans="1:2">
      <c r="A4" t="s">
        <v>70</v>
      </c>
      <c r="B4">
        <v>2</v>
      </c>
    </row>
    <row r="5" spans="1:2">
      <c r="A5" t="s">
        <v>71</v>
      </c>
      <c r="B5">
        <v>5</v>
      </c>
    </row>
    <row r="6" spans="1:2">
      <c r="A6" t="s">
        <v>72</v>
      </c>
      <c r="B6">
        <v>6</v>
      </c>
    </row>
    <row r="7" spans="1:2">
      <c r="A7" t="s">
        <v>73</v>
      </c>
      <c r="B7">
        <v>10</v>
      </c>
    </row>
    <row r="8" spans="1:2">
      <c r="A8" t="s">
        <v>74</v>
      </c>
      <c r="B8">
        <v>11</v>
      </c>
    </row>
    <row r="9" spans="1:2">
      <c r="A9" t="s">
        <v>75</v>
      </c>
      <c r="B9">
        <v>15</v>
      </c>
    </row>
    <row r="10" spans="1:2">
      <c r="A10" t="s">
        <v>76</v>
      </c>
      <c r="B10">
        <v>20</v>
      </c>
    </row>
    <row r="11" spans="1:2">
      <c r="A11" t="s">
        <v>77</v>
      </c>
      <c r="B11">
        <v>25</v>
      </c>
    </row>
    <row r="12" spans="1:2">
      <c r="A12" t="s">
        <v>78</v>
      </c>
      <c r="B12">
        <v>27</v>
      </c>
    </row>
    <row r="13" spans="1:2">
      <c r="A13" t="s">
        <v>79</v>
      </c>
      <c r="B13">
        <v>30</v>
      </c>
    </row>
    <row r="14" spans="1:2">
      <c r="A14" t="s">
        <v>80</v>
      </c>
      <c r="B14">
        <v>35</v>
      </c>
    </row>
    <row r="15" spans="1:2">
      <c r="A15" t="s">
        <v>81</v>
      </c>
      <c r="B15">
        <v>36</v>
      </c>
    </row>
    <row r="16" spans="1:2">
      <c r="A16" t="s">
        <v>82</v>
      </c>
      <c r="B16">
        <v>40</v>
      </c>
    </row>
    <row r="17" spans="1:2">
      <c r="A17" t="s">
        <v>83</v>
      </c>
      <c r="B17">
        <v>45</v>
      </c>
    </row>
    <row r="18" spans="1:2">
      <c r="A18" t="s">
        <v>84</v>
      </c>
      <c r="B18">
        <v>46</v>
      </c>
    </row>
    <row r="19" spans="1:2">
      <c r="A19" t="s">
        <v>85</v>
      </c>
      <c r="B19">
        <v>47</v>
      </c>
    </row>
    <row r="20" spans="1:2">
      <c r="A20" t="s">
        <v>86</v>
      </c>
      <c r="B20">
        <v>50</v>
      </c>
    </row>
    <row r="21" spans="1:2">
      <c r="A21" t="s">
        <v>87</v>
      </c>
      <c r="B21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B5D18-FDB1-4D41-B3C7-1D04FC204721}">
  <dimension ref="A1:E20"/>
  <sheetViews>
    <sheetView workbookViewId="0">
      <selection activeCell="D16" sqref="D16"/>
    </sheetView>
  </sheetViews>
  <sheetFormatPr defaultRowHeight="15"/>
  <cols>
    <col min="1" max="1" width="19.5703125" bestFit="1" customWidth="1"/>
    <col min="2" max="2" width="21.5703125" bestFit="1" customWidth="1"/>
    <col min="3" max="3" width="11.140625" bestFit="1" customWidth="1"/>
    <col min="4" max="4" width="37.140625" bestFit="1" customWidth="1"/>
    <col min="5" max="5" width="6.140625" bestFit="1" customWidth="1"/>
  </cols>
  <sheetData>
    <row r="1" spans="1:5" s="3" customFormat="1">
      <c r="A1" s="3" t="s">
        <v>88</v>
      </c>
      <c r="B1" s="3" t="s">
        <v>89</v>
      </c>
      <c r="C1" s="3" t="s">
        <v>90</v>
      </c>
      <c r="D1" s="3" t="s">
        <v>91</v>
      </c>
      <c r="E1" s="3" t="s">
        <v>68</v>
      </c>
    </row>
    <row r="2" spans="1:5">
      <c r="A2" t="s">
        <v>69</v>
      </c>
      <c r="B2" t="s">
        <v>69</v>
      </c>
      <c r="C2" t="s">
        <v>69</v>
      </c>
      <c r="D2" t="s">
        <v>69</v>
      </c>
      <c r="E2" s="8" t="s">
        <v>104</v>
      </c>
    </row>
    <row r="3" spans="1:5">
      <c r="A3" t="s">
        <v>69</v>
      </c>
      <c r="B3" t="s">
        <v>69</v>
      </c>
      <c r="C3" t="s">
        <v>69</v>
      </c>
      <c r="D3" t="s">
        <v>70</v>
      </c>
      <c r="E3" s="8" t="s">
        <v>105</v>
      </c>
    </row>
    <row r="4" spans="1:5">
      <c r="A4" t="s">
        <v>95</v>
      </c>
      <c r="B4" t="s">
        <v>101</v>
      </c>
      <c r="C4" t="s">
        <v>69</v>
      </c>
      <c r="D4" t="s">
        <v>83</v>
      </c>
      <c r="E4" s="8">
        <v>45</v>
      </c>
    </row>
    <row r="5" spans="1:5">
      <c r="A5" t="s">
        <v>95</v>
      </c>
      <c r="B5" t="s">
        <v>96</v>
      </c>
      <c r="C5" t="s">
        <v>97</v>
      </c>
      <c r="D5" t="s">
        <v>96</v>
      </c>
      <c r="E5" s="8">
        <v>27</v>
      </c>
    </row>
    <row r="6" spans="1:5">
      <c r="A6" t="s">
        <v>95</v>
      </c>
      <c r="B6" t="s">
        <v>82</v>
      </c>
      <c r="C6" t="s">
        <v>97</v>
      </c>
      <c r="D6" t="s">
        <v>82</v>
      </c>
      <c r="E6" s="8">
        <v>40</v>
      </c>
    </row>
    <row r="7" spans="1:5">
      <c r="A7" t="s">
        <v>95</v>
      </c>
      <c r="B7" t="s">
        <v>100</v>
      </c>
      <c r="C7" t="s">
        <v>97</v>
      </c>
      <c r="D7" t="s">
        <v>77</v>
      </c>
      <c r="E7" s="8">
        <v>25</v>
      </c>
    </row>
    <row r="8" spans="1:5">
      <c r="A8" t="s">
        <v>95</v>
      </c>
      <c r="B8" t="s">
        <v>98</v>
      </c>
      <c r="C8" t="s">
        <v>98</v>
      </c>
      <c r="D8" t="s">
        <v>99</v>
      </c>
      <c r="E8" s="8">
        <v>60</v>
      </c>
    </row>
    <row r="9" spans="1:5">
      <c r="A9" t="s">
        <v>92</v>
      </c>
      <c r="B9" t="s">
        <v>73</v>
      </c>
      <c r="C9" t="s">
        <v>93</v>
      </c>
      <c r="D9" t="s">
        <v>73</v>
      </c>
      <c r="E9" s="8">
        <v>10</v>
      </c>
    </row>
    <row r="10" spans="1:5">
      <c r="A10" t="s">
        <v>92</v>
      </c>
      <c r="B10" t="s">
        <v>73</v>
      </c>
      <c r="C10" t="s">
        <v>93</v>
      </c>
      <c r="D10" t="s">
        <v>74</v>
      </c>
      <c r="E10" s="8">
        <v>11</v>
      </c>
    </row>
    <row r="11" spans="1:5">
      <c r="A11" t="s">
        <v>92</v>
      </c>
      <c r="B11" t="s">
        <v>75</v>
      </c>
      <c r="C11" t="s">
        <v>93</v>
      </c>
      <c r="D11" t="s">
        <v>75</v>
      </c>
      <c r="E11" s="8">
        <v>15</v>
      </c>
    </row>
    <row r="12" spans="1:5">
      <c r="A12" t="s">
        <v>92</v>
      </c>
      <c r="B12" t="s">
        <v>76</v>
      </c>
      <c r="C12" t="s">
        <v>93</v>
      </c>
      <c r="D12" t="s">
        <v>76</v>
      </c>
      <c r="E12" s="8">
        <v>20</v>
      </c>
    </row>
    <row r="13" spans="1:5">
      <c r="A13" t="s">
        <v>79</v>
      </c>
      <c r="B13" t="s">
        <v>79</v>
      </c>
      <c r="C13" t="s">
        <v>94</v>
      </c>
      <c r="D13" t="s">
        <v>79</v>
      </c>
      <c r="E13" s="8">
        <v>30</v>
      </c>
    </row>
    <row r="14" spans="1:5">
      <c r="A14" t="s">
        <v>80</v>
      </c>
      <c r="B14" t="s">
        <v>80</v>
      </c>
      <c r="C14" t="s">
        <v>94</v>
      </c>
      <c r="D14" t="s">
        <v>80</v>
      </c>
      <c r="E14" s="8">
        <v>35</v>
      </c>
    </row>
    <row r="15" spans="1:5">
      <c r="A15" t="s">
        <v>80</v>
      </c>
      <c r="B15" t="s">
        <v>80</v>
      </c>
      <c r="C15" t="s">
        <v>94</v>
      </c>
      <c r="D15" t="s">
        <v>81</v>
      </c>
      <c r="E15" s="8">
        <v>36</v>
      </c>
    </row>
    <row r="16" spans="1:5">
      <c r="A16" t="s">
        <v>95</v>
      </c>
      <c r="B16" t="s">
        <v>101</v>
      </c>
      <c r="C16" t="s">
        <v>102</v>
      </c>
      <c r="D16" t="s">
        <v>84</v>
      </c>
      <c r="E16" s="8">
        <v>46</v>
      </c>
    </row>
    <row r="17" spans="1:5">
      <c r="A17" t="s">
        <v>71</v>
      </c>
      <c r="B17" t="s">
        <v>71</v>
      </c>
      <c r="C17" t="s">
        <v>71</v>
      </c>
      <c r="D17" t="s">
        <v>71</v>
      </c>
      <c r="E17" s="8" t="s">
        <v>106</v>
      </c>
    </row>
    <row r="18" spans="1:5">
      <c r="A18" t="s">
        <v>71</v>
      </c>
      <c r="B18" t="s">
        <v>71</v>
      </c>
      <c r="C18" t="s">
        <v>71</v>
      </c>
      <c r="D18" t="s">
        <v>72</v>
      </c>
      <c r="E18" s="8" t="s">
        <v>107</v>
      </c>
    </row>
    <row r="19" spans="1:5">
      <c r="A19" t="s">
        <v>95</v>
      </c>
      <c r="B19" t="s">
        <v>101</v>
      </c>
      <c r="C19" t="s">
        <v>71</v>
      </c>
      <c r="D19" t="s">
        <v>85</v>
      </c>
      <c r="E19" s="8">
        <v>47</v>
      </c>
    </row>
    <row r="20" spans="1:5">
      <c r="A20" t="s">
        <v>62</v>
      </c>
      <c r="B20" t="s">
        <v>62</v>
      </c>
      <c r="C20" t="s">
        <v>62</v>
      </c>
      <c r="D20" s="7" t="s">
        <v>62</v>
      </c>
      <c r="E20" s="8" t="s">
        <v>103</v>
      </c>
    </row>
  </sheetData>
  <sortState xmlns:xlrd2="http://schemas.microsoft.com/office/spreadsheetml/2017/richdata2" ref="A2:E20">
    <sortCondition ref="C2:C2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140EC-746F-45B0-BBDF-390C87BBCEF6}">
  <dimension ref="A1:B7"/>
  <sheetViews>
    <sheetView workbookViewId="0">
      <selection activeCell="C5" sqref="C5"/>
    </sheetView>
  </sheetViews>
  <sheetFormatPr defaultRowHeight="15"/>
  <cols>
    <col min="1" max="1" width="27.7109375" bestFit="1" customWidth="1"/>
  </cols>
  <sheetData>
    <row r="1" spans="1:2" s="3" customFormat="1">
      <c r="A1" s="3" t="s">
        <v>2</v>
      </c>
      <c r="B1" s="3" t="s">
        <v>68</v>
      </c>
    </row>
    <row r="2" spans="1:2">
      <c r="A2" t="s">
        <v>108</v>
      </c>
      <c r="B2">
        <v>0</v>
      </c>
    </row>
    <row r="3" spans="1:2">
      <c r="A3" t="s">
        <v>109</v>
      </c>
      <c r="B3">
        <v>1</v>
      </c>
    </row>
    <row r="4" spans="1:2">
      <c r="A4" t="s">
        <v>110</v>
      </c>
      <c r="B4">
        <v>2</v>
      </c>
    </row>
    <row r="5" spans="1:2">
      <c r="A5" t="s">
        <v>111</v>
      </c>
      <c r="B5">
        <v>3</v>
      </c>
    </row>
    <row r="6" spans="1:2">
      <c r="A6" t="s">
        <v>112</v>
      </c>
      <c r="B6">
        <v>4</v>
      </c>
    </row>
    <row r="7" spans="1:2">
      <c r="A7" t="s">
        <v>113</v>
      </c>
      <c r="B7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C6AA-4C9C-470C-966B-5C1AD81998BA}">
  <dimension ref="A1:B10"/>
  <sheetViews>
    <sheetView workbookViewId="0">
      <selection activeCell="D4" sqref="D4"/>
    </sheetView>
  </sheetViews>
  <sheetFormatPr defaultRowHeight="15"/>
  <cols>
    <col min="1" max="1" width="36.140625" bestFit="1" customWidth="1"/>
  </cols>
  <sheetData>
    <row r="1" spans="1:2">
      <c r="A1" t="s">
        <v>121</v>
      </c>
    </row>
    <row r="2" spans="1:2">
      <c r="A2" s="3" t="s">
        <v>2</v>
      </c>
      <c r="B2" s="3" t="s">
        <v>68</v>
      </c>
    </row>
    <row r="3" spans="1:2">
      <c r="A3" t="s">
        <v>62</v>
      </c>
      <c r="B3">
        <v>0</v>
      </c>
    </row>
    <row r="4" spans="1:2">
      <c r="A4" t="s">
        <v>114</v>
      </c>
      <c r="B4">
        <v>1</v>
      </c>
    </row>
    <row r="5" spans="1:2">
      <c r="A5" t="s">
        <v>115</v>
      </c>
      <c r="B5">
        <v>2</v>
      </c>
    </row>
    <row r="6" spans="1:2">
      <c r="A6" t="s">
        <v>116</v>
      </c>
      <c r="B6">
        <v>3</v>
      </c>
    </row>
    <row r="7" spans="1:2">
      <c r="A7" t="s">
        <v>117</v>
      </c>
      <c r="B7">
        <v>4</v>
      </c>
    </row>
    <row r="8" spans="1:2">
      <c r="A8" t="s">
        <v>118</v>
      </c>
      <c r="B8">
        <v>5</v>
      </c>
    </row>
    <row r="9" spans="1:2">
      <c r="A9" t="s">
        <v>119</v>
      </c>
      <c r="B9">
        <v>6</v>
      </c>
    </row>
    <row r="10" spans="1:2">
      <c r="A10" t="s">
        <v>120</v>
      </c>
      <c r="B1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SIDC Structure</vt:lpstr>
      <vt:lpstr>Version</vt:lpstr>
      <vt:lpstr>Context-Standard Identity</vt:lpstr>
      <vt:lpstr>Symbol Set</vt:lpstr>
      <vt:lpstr>Domain Mappings</vt:lpstr>
      <vt:lpstr>Status</vt:lpstr>
      <vt:lpstr>HQTFFD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Howe, John P</cp:lastModifiedBy>
  <dcterms:created xsi:type="dcterms:W3CDTF">2026-05-01T03:05:40Z</dcterms:created>
  <dcterms:modified xsi:type="dcterms:W3CDTF">2026-05-01T06:03:03Z</dcterms:modified>
</cp:coreProperties>
</file>